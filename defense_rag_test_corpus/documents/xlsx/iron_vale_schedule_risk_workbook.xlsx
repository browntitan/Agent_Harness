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S" sheetId="1" state="visible" r:id="rId1"/>
    <sheet xmlns:r="http://schemas.openxmlformats.org/officeDocument/2006/relationships" name="Risks" sheetId="2" state="visible" r:id="rId2"/>
    <sheet xmlns:r="http://schemas.openxmlformats.org/officeDocument/2006/relationships" name="TestMatrix" sheetId="3" state="visible" r:id="rId3"/>
    <sheet xmlns:r="http://schemas.openxmlformats.org/officeDocument/2006/relationships" name="CostOptions" sheetId="4" state="visible" r:id="rId4"/>
    <sheet xmlns:r="http://schemas.openxmlformats.org/officeDocument/2006/relationships" name="Staff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00666666"/>
    </font>
    <font>
      <b val="1"/>
      <color rgb="001F4E78"/>
      <sz val="14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4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2" fontId="0" fillId="0" borderId="0" pivotButton="0" quotePrefix="0" xfId="0"/>
    <xf numFmtId="2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7" customWidth="1" min="4" max="4"/>
    <col width="40" customWidth="1" min="5" max="5"/>
  </cols>
  <sheetData>
    <row r="1">
      <c r="A1" s="1" t="inlineStr">
        <is>
          <t>UNCLASSIFIED // SYNTHETIC TEST DATA</t>
        </is>
      </c>
    </row>
    <row r="2" ht="20" customHeight="1">
      <c r="A2" s="2" t="inlineStr">
        <is>
          <t>Iron Vale Autonomous Ground Vehicle Integration</t>
        </is>
      </c>
    </row>
    <row r="3">
      <c r="A3" s="3" t="inlineStr">
        <is>
          <t>SYN-GV-28-2317</t>
        </is>
      </c>
    </row>
    <row r="4"/>
    <row r="5">
      <c r="A5" s="4" t="inlineStr">
        <is>
          <t>Milestone</t>
        </is>
      </c>
      <c r="B5" s="4" t="inlineStr">
        <is>
          <t>Baseline</t>
        </is>
      </c>
      <c r="C5" s="4" t="inlineStr">
        <is>
          <t>Current</t>
        </is>
      </c>
      <c r="D5" s="4" t="inlineStr">
        <is>
          <t>Variance (days)</t>
        </is>
      </c>
      <c r="E5" s="4" t="inlineStr">
        <is>
          <t>Driver</t>
        </is>
      </c>
    </row>
    <row r="6">
      <c r="A6" s="4" t="inlineStr">
        <is>
          <t>Subsystem fit check</t>
        </is>
      </c>
      <c r="B6" s="4" t="inlineStr">
        <is>
          <t>2028-11-01</t>
        </is>
      </c>
      <c r="C6" s="4" t="inlineStr">
        <is>
          <t>2028-11-08</t>
        </is>
      </c>
      <c r="D6" s="5" t="n">
        <v>7</v>
      </c>
      <c r="E6" s="4" t="inlineStr">
        <is>
          <t>Vehicle access and part availability</t>
        </is>
      </c>
    </row>
    <row r="7">
      <c r="A7" s="4" t="inlineStr">
        <is>
          <t>Endurance retest</t>
        </is>
      </c>
      <c r="B7" s="4" t="inlineStr">
        <is>
          <t>2029-01-08</t>
        </is>
      </c>
      <c r="C7" s="4" t="inlineStr">
        <is>
          <t>2029-02-06</t>
        </is>
      </c>
      <c r="D7" s="5" t="n">
        <v>29</v>
      </c>
      <c r="E7" s="4" t="inlineStr">
        <is>
          <t>Cooling retrofit integration</t>
        </is>
      </c>
    </row>
    <row r="8">
      <c r="A8" s="4" t="inlineStr">
        <is>
          <t>Limited User Test</t>
        </is>
      </c>
      <c r="B8" s="4" t="inlineStr">
        <is>
          <t>2029-02-12</t>
        </is>
      </c>
      <c r="C8" s="4" t="inlineStr">
        <is>
          <t>2029-03-21</t>
        </is>
      </c>
      <c r="D8" s="5" t="n">
        <v>37</v>
      </c>
      <c r="E8" s="4" t="inlineStr">
        <is>
          <t>Cooling retrofit plus suspension spares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3" customWidth="1" min="3" max="3"/>
    <col width="8" customWidth="1" min="4" max="4"/>
    <col width="22" customWidth="1" min="5" max="5"/>
    <col width="14" customWidth="1" min="6" max="6"/>
  </cols>
  <sheetData>
    <row r="1">
      <c r="A1" s="1" t="inlineStr">
        <is>
          <t>UNCLASSIFIED // SYNTHETIC TEST DATA</t>
        </is>
      </c>
    </row>
    <row r="2" ht="20" customHeight="1">
      <c r="A2" s="2" t="inlineStr">
        <is>
          <t>Iron Vale Autonomous Ground Vehicle Integration</t>
        </is>
      </c>
    </row>
    <row r="3">
      <c r="A3" s="3" t="inlineStr">
        <is>
          <t>SYN-GV-28-2317</t>
        </is>
      </c>
      <c r="E3" s="6" t="n"/>
    </row>
    <row r="4">
      <c r="E4" s="6" t="n"/>
    </row>
    <row r="5">
      <c r="A5" s="4" t="inlineStr">
        <is>
          <t>Risk ID</t>
        </is>
      </c>
      <c r="B5" s="4" t="inlineStr">
        <is>
          <t>Description</t>
        </is>
      </c>
      <c r="C5" s="4" t="inlineStr">
        <is>
          <t>Probability</t>
        </is>
      </c>
      <c r="D5" s="4" t="inlineStr">
        <is>
          <t>Impact</t>
        </is>
      </c>
      <c r="E5" s="7" t="inlineStr">
        <is>
          <t>Mitigation Cost ($M)</t>
        </is>
      </c>
      <c r="F5" s="4" t="inlineStr">
        <is>
          <t>Owner</t>
        </is>
      </c>
    </row>
    <row r="6">
      <c r="A6" s="4" t="inlineStr">
        <is>
          <t>R-09</t>
        </is>
      </c>
      <c r="B6" s="4" t="inlineStr">
        <is>
          <t>Dust ingestion in SHD-18 causing endurance failure</t>
        </is>
      </c>
      <c r="C6" s="4" t="inlineStr">
        <is>
          <t>High</t>
        </is>
      </c>
      <c r="D6" s="4" t="inlineStr">
        <is>
          <t>High</t>
        </is>
      </c>
      <c r="E6" s="7" t="n">
        <v>0.68</v>
      </c>
      <c r="F6" s="4" t="inlineStr">
        <is>
          <t>Engineering</t>
        </is>
      </c>
    </row>
    <row r="7">
      <c r="A7" s="4" t="inlineStr">
        <is>
          <t>R-12</t>
        </is>
      </c>
      <c r="B7" s="4" t="inlineStr">
        <is>
          <t>Front suspension CR-12 casting shortage</t>
        </is>
      </c>
      <c r="C7" s="4" t="inlineStr">
        <is>
          <t>Medium</t>
        </is>
      </c>
      <c r="D7" s="4" t="inlineStr">
        <is>
          <t>High</t>
        </is>
      </c>
      <c r="E7" s="7" t="n">
        <v>0.2</v>
      </c>
      <c r="F7" s="4" t="inlineStr">
        <is>
          <t>Supply Chain</t>
        </is>
      </c>
    </row>
    <row r="8">
      <c r="A8" s="4" t="inlineStr">
        <is>
          <t>R-15</t>
        </is>
      </c>
      <c r="B8" s="4" t="inlineStr">
        <is>
          <t>Retrofit install labor congestion in Bay 3</t>
        </is>
      </c>
      <c r="C8" s="4" t="inlineStr">
        <is>
          <t>Medium</t>
        </is>
      </c>
      <c r="D8" s="4" t="inlineStr">
        <is>
          <t>Medium</t>
        </is>
      </c>
      <c r="E8" s="7" t="n">
        <v>0</v>
      </c>
      <c r="F8" s="4" t="inlineStr">
        <is>
          <t>Integration</t>
        </is>
      </c>
    </row>
    <row r="9">
      <c r="A9" s="4" t="inlineStr">
        <is>
          <t>Total Mitigation</t>
        </is>
      </c>
      <c r="B9" s="4" t="inlineStr"/>
      <c r="C9" s="4" t="inlineStr"/>
      <c r="D9" s="4" t="inlineStr"/>
      <c r="E9" s="7">
        <f>SUM(E3:E5)</f>
        <v/>
      </c>
      <c r="F9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UNCLASSIFIED // SYNTHETIC TEST DATA</t>
        </is>
      </c>
    </row>
    <row r="2" ht="20" customHeight="1">
      <c r="A2" s="2" t="inlineStr">
        <is>
          <t>Iron Vale Autonomous Ground Vehicle Integration</t>
        </is>
      </c>
    </row>
    <row r="3">
      <c r="A3" s="3" t="inlineStr">
        <is>
          <t>SYN-GV-28-2317</t>
        </is>
      </c>
    </row>
    <row r="4"/>
    <row r="5">
      <c r="A5" s="4" t="inlineStr">
        <is>
          <t>Metric</t>
        </is>
      </c>
      <c r="B5" s="4" t="inlineStr">
        <is>
          <t>Requirement</t>
        </is>
      </c>
      <c r="C5" s="4" t="inlineStr">
        <is>
          <t>Actual</t>
        </is>
      </c>
      <c r="D5" s="4" t="inlineStr">
        <is>
          <t>Status</t>
        </is>
      </c>
    </row>
    <row r="6">
      <c r="A6" s="4" t="inlineStr">
        <is>
          <t>Endurance distance (km)</t>
        </is>
      </c>
      <c r="B6" s="4" t="n">
        <v>120</v>
      </c>
      <c r="C6" s="5" t="n">
        <v>94</v>
      </c>
      <c r="D6" s="4" t="inlineStr">
        <is>
          <t>Fail</t>
        </is>
      </c>
    </row>
    <row r="7">
      <c r="A7" s="4" t="inlineStr">
        <is>
          <t>Mission completion (%)</t>
        </is>
      </c>
      <c r="B7" s="4" t="n">
        <v>85</v>
      </c>
      <c r="C7" s="5" t="n">
        <v>81</v>
      </c>
      <c r="D7" s="4" t="inlineStr">
        <is>
          <t>Fail</t>
        </is>
      </c>
    </row>
    <row r="8">
      <c r="A8" s="4" t="inlineStr">
        <is>
          <t>Turning radius (m)</t>
        </is>
      </c>
      <c r="B8" s="4" t="n">
        <v>5.8</v>
      </c>
      <c r="C8" s="5" t="n">
        <v>5.5</v>
      </c>
      <c r="D8" s="4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5" customWidth="1" min="4" max="4"/>
    <col width="23" customWidth="1" min="5" max="5"/>
    <col width="32" customWidth="1" min="6" max="6"/>
  </cols>
  <sheetData>
    <row r="1">
      <c r="A1" s="1" t="inlineStr">
        <is>
          <t>UNCLASSIFIED // SYNTHETIC TEST DATA</t>
        </is>
      </c>
    </row>
    <row r="2" ht="20" customHeight="1">
      <c r="A2" s="2" t="inlineStr">
        <is>
          <t>Iron Vale Autonomous Ground Vehicle Integration</t>
        </is>
      </c>
    </row>
    <row r="3">
      <c r="A3" s="3" t="inlineStr">
        <is>
          <t>SYN-GV-28-2317</t>
        </is>
      </c>
    </row>
    <row r="4"/>
    <row r="5">
      <c r="A5" s="4" t="inlineStr">
        <is>
          <t>Option</t>
        </is>
      </c>
      <c r="B5" s="4" t="inlineStr">
        <is>
          <t>NRE ($M)</t>
        </is>
      </c>
      <c r="C5" s="4" t="inlineStr">
        <is>
          <t>Unit Price ($)</t>
        </is>
      </c>
      <c r="D5" s="4" t="inlineStr">
        <is>
          <t>Qty</t>
        </is>
      </c>
      <c r="E5" s="4" t="inlineStr">
        <is>
          <t>Extended ($M)</t>
        </is>
      </c>
      <c r="F5" s="4" t="inlineStr">
        <is>
          <t>Notes</t>
        </is>
      </c>
    </row>
    <row r="6">
      <c r="A6" s="4" t="inlineStr">
        <is>
          <t>Aegis shroud retrofit</t>
        </is>
      </c>
      <c r="B6" s="4" t="n">
        <v>0.42</v>
      </c>
      <c r="C6" s="5" t="n">
        <v>18600</v>
      </c>
      <c r="D6" s="5" t="n">
        <v>24</v>
      </c>
      <c r="E6" s="4">
        <f>B3 + (C3*D3/1000000)</f>
        <v/>
      </c>
      <c r="F6" s="4" t="inlineStr">
        <is>
          <t>12-week lead time</t>
        </is>
      </c>
    </row>
    <row r="7">
      <c r="A7" s="4" t="inlineStr">
        <is>
          <t>Procedural cleaning only</t>
        </is>
      </c>
      <c r="B7" s="4" t="n">
        <v>0.05</v>
      </c>
      <c r="C7" s="5" t="n">
        <v>1200</v>
      </c>
      <c r="D7" s="5" t="n">
        <v>24</v>
      </c>
      <c r="E7" s="4">
        <f>B4 + (C4*D4/1000000)</f>
        <v/>
      </c>
      <c r="F7" s="4" t="inlineStr">
        <is>
          <t>Does not meet endurance intent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0" customWidth="1" min="4" max="4"/>
    <col width="13" customWidth="1" min="5" max="5"/>
  </cols>
  <sheetData>
    <row r="1">
      <c r="A1" s="1" t="inlineStr">
        <is>
          <t>UNCLASSIFIED // SYNTHETIC TEST DATA</t>
        </is>
      </c>
    </row>
    <row r="2" ht="20" customHeight="1">
      <c r="A2" s="2" t="inlineStr">
        <is>
          <t>Iron Vale Autonomous Ground Vehicle Integration</t>
        </is>
      </c>
    </row>
    <row r="3">
      <c r="A3" s="3" t="inlineStr">
        <is>
          <t>SYN-GV-28-2317</t>
        </is>
      </c>
    </row>
    <row r="4"/>
    <row r="5">
      <c r="A5" s="4" t="inlineStr">
        <is>
          <t>Month</t>
        </is>
      </c>
      <c r="B5" s="4" t="inlineStr">
        <is>
          <t>Bay Techs</t>
        </is>
      </c>
      <c r="C5" s="4" t="inlineStr">
        <is>
          <t>Test Crew</t>
        </is>
      </c>
      <c r="D5" s="4" t="inlineStr">
        <is>
          <t>Software</t>
        </is>
      </c>
      <c r="E5" s="4" t="inlineStr">
        <is>
          <t>Total</t>
        </is>
      </c>
    </row>
    <row r="6">
      <c r="A6" s="4" t="inlineStr">
        <is>
          <t>Oct-28</t>
        </is>
      </c>
      <c r="B6" s="4" t="n">
        <v>14</v>
      </c>
      <c r="C6" s="5" t="n">
        <v>9</v>
      </c>
      <c r="D6" s="5" t="n">
        <v>4</v>
      </c>
      <c r="E6" s="4">
        <f>SUM(B3:D3)</f>
        <v/>
      </c>
    </row>
    <row r="7">
      <c r="A7" s="4" t="inlineStr">
        <is>
          <t>Nov-28</t>
        </is>
      </c>
      <c r="B7" s="4" t="n">
        <v>15</v>
      </c>
      <c r="C7" s="5" t="n">
        <v>9</v>
      </c>
      <c r="D7" s="5" t="n">
        <v>4</v>
      </c>
      <c r="E7" s="4">
        <f>SUM(B4:D4)</f>
        <v/>
      </c>
    </row>
    <row r="8">
      <c r="A8" s="4" t="inlineStr">
        <is>
          <t>Dec-28</t>
        </is>
      </c>
      <c r="B8" s="4" t="n">
        <v>15</v>
      </c>
      <c r="C8" s="5" t="n">
        <v>10</v>
      </c>
      <c r="D8" s="5" t="n">
        <v>5</v>
      </c>
      <c r="E8" s="4">
        <f>SUM(B5:D5)</f>
        <v/>
      </c>
    </row>
    <row r="9">
      <c r="A9" s="4" t="inlineStr">
        <is>
          <t>Jan-29</t>
        </is>
      </c>
      <c r="B9" s="4" t="n">
        <v>16</v>
      </c>
      <c r="C9" s="5" t="n">
        <v>10</v>
      </c>
      <c r="D9" s="5" t="n">
        <v>5</v>
      </c>
      <c r="E9" s="4">
        <f>SUM(B6:D6)</f>
        <v/>
      </c>
    </row>
    <row r="10">
      <c r="A10" s="4" t="inlineStr">
        <is>
          <t>Feb-29</t>
        </is>
      </c>
      <c r="B10" s="4" t="n">
        <v>16</v>
      </c>
      <c r="C10" s="5" t="n">
        <v>11</v>
      </c>
      <c r="D10" s="5" t="n">
        <v>5</v>
      </c>
      <c r="E10" s="4">
        <f>SUM(B7:D7)</f>
        <v/>
      </c>
    </row>
    <row r="11">
      <c r="A11" s="4" t="inlineStr">
        <is>
          <t>Mar-29</t>
        </is>
      </c>
      <c r="B11" s="4" t="n">
        <v>18</v>
      </c>
      <c r="C11" s="5" t="n">
        <v>12</v>
      </c>
      <c r="D11" s="5" t="n">
        <v>6</v>
      </c>
      <c r="E11" s="4">
        <f>SUM(B8:D8)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2026-04-07T16:11:42Z</dcterms:created>
  <dcterms:modified xmlns:dcterms="http://purl.org/dc/terms/" xmlns:xsi="http://www.w3.org/2001/XMLSchema-instance" xsi:type="dcterms:W3CDTF">2026-04-07T16:11:42Z</dcterms:modified>
</cp:coreProperties>
</file>