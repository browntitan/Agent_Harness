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IMS" sheetId="3" state="visible" r:id="rId3"/>
    <sheet xmlns:r="http://schemas.openxmlformats.org/officeDocument/2006/relationships" name="Staffing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666666"/>
    </font>
    <font>
      <b val="1"/>
      <color rgb="001F4E78"/>
      <sz val="14"/>
    </font>
    <font>
      <i val="1"/>
      <color rgb="0066666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3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2" fontId="0" fillId="0" borderId="0" pivotButton="0" quotePrefix="0" xfId="0"/>
    <xf numFmtId="0" fontId="3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</cols>
  <sheetData>
    <row r="1">
      <c r="A1" s="1" t="inlineStr">
        <is>
          <t>UNCLASSIFIED // SYNTHETIC TEST DATA</t>
        </is>
      </c>
    </row>
    <row r="2">
      <c r="A2" s="2" t="inlineStr">
        <is>
          <t>Asterion ISR Payload Modernization</t>
        </is>
      </c>
    </row>
    <row r="3">
      <c r="A3" s="3" t="inlineStr">
        <is>
          <t>SYN-AV-28-1042</t>
        </is>
      </c>
    </row>
    <row r="4"/>
    <row r="5" ht="20" customHeight="1">
      <c r="A5" s="4" t="inlineStr">
        <is>
          <t>Current ETC ($M)</t>
        </is>
      </c>
      <c r="B5" s="5" t="n">
        <v>49.58</v>
      </c>
    </row>
    <row r="6">
      <c r="A6" s="6" t="inlineStr">
        <is>
          <t>Prior ETC ($M)</t>
        </is>
      </c>
      <c r="B6" s="7" t="n">
        <v>47.8</v>
      </c>
    </row>
    <row r="7">
      <c r="A7" s="6" t="inlineStr">
        <is>
          <t>Delta ($M)</t>
        </is>
      </c>
      <c r="B7" s="7">
        <f>B5-B6</f>
        <v/>
      </c>
    </row>
    <row r="8">
      <c r="A8" s="6" t="inlineStr">
        <is>
          <t>CDR Current</t>
        </is>
      </c>
      <c r="B8" s="8" t="inlineStr">
        <is>
          <t>2028-09-26</t>
        </is>
      </c>
    </row>
    <row r="9">
      <c r="A9" s="6" t="inlineStr">
        <is>
          <t>EVT Current</t>
        </is>
      </c>
      <c r="B9" s="8" t="inlineStr">
        <is>
          <t>2028-12-09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UNCLASSIFIED // SYNTHETIC TEST DATA</t>
        </is>
      </c>
    </row>
    <row r="2" ht="20" customHeight="1">
      <c r="A2" s="9" t="inlineStr">
        <is>
          <t>Asterion ISR Payload Modernization</t>
        </is>
      </c>
      <c r="B2" s="10" t="n"/>
      <c r="C2" s="10" t="n"/>
      <c r="D2" s="10" t="n"/>
    </row>
    <row r="3">
      <c r="A3" s="11" t="inlineStr">
        <is>
          <t>SYN-AV-28-1042</t>
        </is>
      </c>
      <c r="B3" s="10" t="n"/>
      <c r="C3" s="10" t="n"/>
      <c r="D3" s="10" t="n"/>
    </row>
    <row r="4">
      <c r="B4" s="10" t="n"/>
      <c r="C4" s="10" t="n"/>
      <c r="D4" s="10" t="n"/>
    </row>
    <row r="5">
      <c r="A5" s="8" t="inlineStr">
        <is>
          <t>WBS Element</t>
        </is>
      </c>
      <c r="B5" s="7" t="inlineStr">
        <is>
          <t>Prior ETC ($M)</t>
        </is>
      </c>
      <c r="C5" s="7" t="inlineStr">
        <is>
          <t>Current ETC ($M)</t>
        </is>
      </c>
      <c r="D5" s="7" t="inlineStr">
        <is>
          <t>Delta ($M)</t>
        </is>
      </c>
    </row>
    <row r="6">
      <c r="A6" s="8" t="inlineStr">
        <is>
          <t>Systems Engineering</t>
        </is>
      </c>
      <c r="B6" s="7" t="n">
        <v>6.42</v>
      </c>
      <c r="C6" s="7" t="n">
        <v>6.93</v>
      </c>
      <c r="D6" s="7">
        <f>C6-B6</f>
        <v/>
      </c>
    </row>
    <row r="7">
      <c r="A7" s="8" t="inlineStr">
        <is>
          <t>Payload Structures</t>
        </is>
      </c>
      <c r="B7" s="7" t="n">
        <v>8.15</v>
      </c>
      <c r="C7" s="7" t="n">
        <v>8.94</v>
      </c>
      <c r="D7" s="7">
        <f>C7-B7</f>
        <v/>
      </c>
    </row>
    <row r="8">
      <c r="A8" s="8" t="inlineStr">
        <is>
          <t>Power and Thermal</t>
        </is>
      </c>
      <c r="B8" s="7" t="n">
        <v>7.84</v>
      </c>
      <c r="C8" s="7" t="n">
        <v>8.619999999999999</v>
      </c>
      <c r="D8" s="7">
        <f>C8-B8</f>
        <v/>
      </c>
    </row>
    <row r="9">
      <c r="A9" s="8" t="inlineStr">
        <is>
          <t>Supplier Tooling</t>
        </is>
      </c>
      <c r="B9" s="7" t="n">
        <v>5.12</v>
      </c>
      <c r="C9" s="7" t="n">
        <v>5.49</v>
      </c>
      <c r="D9" s="7">
        <f>C9-B9</f>
        <v/>
      </c>
    </row>
    <row r="10">
      <c r="A10" s="8" t="inlineStr">
        <is>
          <t>Integration and Test</t>
        </is>
      </c>
      <c r="B10" s="7" t="n">
        <v>9.609999999999999</v>
      </c>
      <c r="C10" s="7" t="n">
        <v>10.33</v>
      </c>
      <c r="D10" s="7">
        <f>C10-B10</f>
        <v/>
      </c>
    </row>
    <row r="11">
      <c r="A11" s="8" t="inlineStr">
        <is>
          <t>Program Management</t>
        </is>
      </c>
      <c r="B11" s="7" t="n">
        <v>4.88</v>
      </c>
      <c r="C11" s="7" t="n">
        <v>4.95</v>
      </c>
      <c r="D11" s="7">
        <f>C11-B11</f>
        <v/>
      </c>
    </row>
    <row r="12">
      <c r="A12" s="8" t="inlineStr">
        <is>
          <t>Quality and CM</t>
        </is>
      </c>
      <c r="B12" s="7" t="n">
        <v>2.41</v>
      </c>
      <c r="C12" s="7" t="n">
        <v>2.53</v>
      </c>
      <c r="D12" s="7">
        <f>C12-B12</f>
        <v/>
      </c>
    </row>
    <row r="13">
      <c r="A13" s="8" t="inlineStr">
        <is>
          <t>Management Reserve</t>
        </is>
      </c>
      <c r="B13" s="7" t="n">
        <v>3.37</v>
      </c>
      <c r="C13" s="7" t="n">
        <v>1.79</v>
      </c>
      <c r="D13" s="7">
        <f>C13-B13</f>
        <v/>
      </c>
    </row>
    <row r="14">
      <c r="A14" s="8" t="inlineStr">
        <is>
          <t>Total</t>
        </is>
      </c>
      <c r="B14" s="7">
        <f>SUM(B3:B13)</f>
        <v/>
      </c>
      <c r="C14" s="7">
        <f>SUM(C3:C13)</f>
        <v/>
      </c>
      <c r="D14" s="7">
        <f>SUM(D3:D13)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4" customWidth="1" min="3" max="3"/>
    <col width="17" customWidth="1" min="4" max="4"/>
    <col width="40" customWidth="1" min="5" max="5"/>
  </cols>
  <sheetData>
    <row r="1">
      <c r="A1" s="1" t="inlineStr">
        <is>
          <t>UNCLASSIFIED // SYNTHETIC TEST DATA</t>
        </is>
      </c>
    </row>
    <row r="2" ht="20" customHeight="1">
      <c r="A2" s="9" t="inlineStr">
        <is>
          <t>Asterion ISR Payload Modernization</t>
        </is>
      </c>
    </row>
    <row r="3">
      <c r="A3" s="11" t="inlineStr">
        <is>
          <t>SYN-AV-28-1042</t>
        </is>
      </c>
    </row>
    <row r="4"/>
    <row r="5">
      <c r="A5" s="8" t="inlineStr">
        <is>
          <t>Milestone</t>
        </is>
      </c>
      <c r="B5" s="8" t="inlineStr">
        <is>
          <t>Baseline Date</t>
        </is>
      </c>
      <c r="C5" s="8" t="inlineStr">
        <is>
          <t>Current Date</t>
        </is>
      </c>
      <c r="D5" s="8" t="inlineStr">
        <is>
          <t>Variance (days)</t>
        </is>
      </c>
      <c r="E5" s="8" t="inlineStr">
        <is>
          <t>Comment</t>
        </is>
      </c>
    </row>
    <row r="6">
      <c r="A6" s="8" t="inlineStr">
        <is>
          <t>CDR</t>
        </is>
      </c>
      <c r="B6" s="8" t="inlineStr">
        <is>
          <t>2028-08-14</t>
        </is>
      </c>
      <c r="C6" s="8" t="inlineStr">
        <is>
          <t>2028-09-26</t>
        </is>
      </c>
      <c r="D6" s="12" t="n">
        <v>43</v>
      </c>
      <c r="E6" s="8" t="inlineStr">
        <is>
          <t>Moved after ECP-04 approval</t>
        </is>
      </c>
    </row>
    <row r="7">
      <c r="A7" s="8" t="inlineStr">
        <is>
          <t>EVT Start</t>
        </is>
      </c>
      <c r="B7" s="8" t="inlineStr">
        <is>
          <t>2028-11-04</t>
        </is>
      </c>
      <c r="C7" s="8" t="inlineStr">
        <is>
          <t>2028-12-09</t>
        </is>
      </c>
      <c r="D7" s="12" t="n">
        <v>35</v>
      </c>
      <c r="E7" s="8" t="inlineStr">
        <is>
          <t>Delta qualification and rework</t>
        </is>
      </c>
    </row>
    <row r="8">
      <c r="A8" s="8" t="inlineStr">
        <is>
          <t>FA Lot 1 Integration Release</t>
        </is>
      </c>
      <c r="B8" s="8" t="inlineStr">
        <is>
          <t>2029-01-29</t>
        </is>
      </c>
      <c r="C8" s="8" t="inlineStr">
        <is>
          <t>2029-02-18</t>
        </is>
      </c>
      <c r="D8" s="12" t="n">
        <v>20</v>
      </c>
      <c r="E8" s="8" t="inlineStr">
        <is>
          <t>Supplier and design-change convergence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9" customWidth="1" min="3" max="3"/>
    <col width="13" customWidth="1" min="4" max="4"/>
    <col width="13" customWidth="1" min="5" max="5"/>
  </cols>
  <sheetData>
    <row r="1">
      <c r="A1" s="1" t="inlineStr">
        <is>
          <t>UNCLASSIFIED // SYNTHETIC TEST DATA</t>
        </is>
      </c>
    </row>
    <row r="2" ht="20" customHeight="1">
      <c r="A2" s="9" t="inlineStr">
        <is>
          <t>Asterion ISR Payload Modernization</t>
        </is>
      </c>
    </row>
    <row r="3">
      <c r="A3" s="11" t="inlineStr">
        <is>
          <t>SYN-AV-28-1042</t>
        </is>
      </c>
    </row>
    <row r="4"/>
    <row r="5">
      <c r="A5" s="8" t="inlineStr">
        <is>
          <t>Month</t>
        </is>
      </c>
      <c r="B5" s="8" t="inlineStr">
        <is>
          <t>Systems Eng FTE</t>
        </is>
      </c>
      <c r="C5" s="8" t="inlineStr">
        <is>
          <t>I&amp;T FTE</t>
        </is>
      </c>
      <c r="D5" s="8" t="inlineStr">
        <is>
          <t>Quality FTE</t>
        </is>
      </c>
      <c r="E5" s="8" t="inlineStr">
        <is>
          <t>Total FTE</t>
        </is>
      </c>
    </row>
    <row r="6">
      <c r="A6" s="8" t="inlineStr">
        <is>
          <t>Jul-28</t>
        </is>
      </c>
      <c r="B6" s="8" t="n">
        <v>18</v>
      </c>
      <c r="C6" s="12" t="n">
        <v>26</v>
      </c>
      <c r="D6" s="12" t="n">
        <v>7</v>
      </c>
      <c r="E6" s="8">
        <f>SUM(B3:D3)</f>
        <v/>
      </c>
    </row>
    <row r="7">
      <c r="A7" s="8" t="inlineStr">
        <is>
          <t>Aug-28</t>
        </is>
      </c>
      <c r="B7" s="8" t="n">
        <v>19</v>
      </c>
      <c r="C7" s="12" t="n">
        <v>28</v>
      </c>
      <c r="D7" s="12" t="n">
        <v>7</v>
      </c>
      <c r="E7" s="8">
        <f>SUM(B4:D4)</f>
        <v/>
      </c>
    </row>
    <row r="8">
      <c r="A8" s="8" t="inlineStr">
        <is>
          <t>Sep-28</t>
        </is>
      </c>
      <c r="B8" s="8" t="n">
        <v>20</v>
      </c>
      <c r="C8" s="12" t="n">
        <v>29</v>
      </c>
      <c r="D8" s="12" t="n">
        <v>8</v>
      </c>
      <c r="E8" s="8">
        <f>SUM(B5:D5)</f>
        <v/>
      </c>
    </row>
    <row r="9">
      <c r="A9" s="8" t="inlineStr">
        <is>
          <t>Oct-28</t>
        </is>
      </c>
      <c r="B9" s="8" t="n">
        <v>20</v>
      </c>
      <c r="C9" s="12" t="n">
        <v>31</v>
      </c>
      <c r="D9" s="12" t="n">
        <v>8</v>
      </c>
      <c r="E9" s="8">
        <f>SUM(B6:D6)</f>
        <v/>
      </c>
    </row>
    <row r="10">
      <c r="A10" s="8" t="inlineStr">
        <is>
          <t>Nov-28</t>
        </is>
      </c>
      <c r="B10" s="8" t="n">
        <v>21</v>
      </c>
      <c r="C10" s="12" t="n">
        <v>32</v>
      </c>
      <c r="D10" s="12" t="n">
        <v>8</v>
      </c>
      <c r="E10" s="8">
        <f>SUM(B7:D7)</f>
        <v/>
      </c>
    </row>
    <row r="11">
      <c r="A11" s="8" t="inlineStr">
        <is>
          <t>Dec-28</t>
        </is>
      </c>
      <c r="B11" s="8" t="n">
        <v>20</v>
      </c>
      <c r="C11" s="12" t="n">
        <v>31</v>
      </c>
      <c r="D11" s="12" t="n">
        <v>8</v>
      </c>
      <c r="E11" s="8">
        <f>SUM(B8:D8)</f>
        <v/>
      </c>
    </row>
    <row r="12">
      <c r="A12" s="8" t="inlineStr">
        <is>
          <t>Jan-29</t>
        </is>
      </c>
      <c r="B12" s="8" t="n">
        <v>18</v>
      </c>
      <c r="C12" s="12" t="n">
        <v>28</v>
      </c>
      <c r="D12" s="12" t="n">
        <v>7</v>
      </c>
      <c r="E12" s="8">
        <f>SUM(B9:D9)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</cols>
  <sheetData>
    <row r="1">
      <c r="A1" s="1" t="inlineStr">
        <is>
          <t>UNCLASSIFIED // SYNTHETIC TEST DATA</t>
        </is>
      </c>
    </row>
    <row r="2" ht="20" customHeight="1">
      <c r="A2" s="9" t="inlineStr">
        <is>
          <t>Asterion ISR Payload Modernization</t>
        </is>
      </c>
    </row>
    <row r="3">
      <c r="A3" s="11" t="inlineStr">
        <is>
          <t>SYN-AV-28-1042</t>
        </is>
      </c>
    </row>
    <row r="4"/>
    <row r="5">
      <c r="A5" s="8" t="inlineStr">
        <is>
          <t>ID</t>
        </is>
      </c>
      <c r="B5" s="8" t="inlineStr">
        <is>
          <t>Assumption</t>
        </is>
      </c>
    </row>
    <row r="6">
      <c r="A6" s="8" t="inlineStr">
        <is>
          <t>A1</t>
        </is>
      </c>
      <c r="B6" s="8" t="inlineStr">
        <is>
          <t>ECP-04 fully implemented before EVT entry</t>
        </is>
      </c>
    </row>
    <row r="7">
      <c r="A7" s="8" t="inlineStr">
        <is>
          <t>A2</t>
        </is>
      </c>
      <c r="B7" s="8" t="inlineStr">
        <is>
          <t>North Coast Systems LLC delivers first article rings by 15 Oct 2028</t>
        </is>
      </c>
    </row>
    <row r="8">
      <c r="A8" s="8" t="inlineStr">
        <is>
          <t>A3</t>
        </is>
      </c>
      <c r="B8" s="8" t="inlineStr">
        <is>
          <t>No further redesign beyond TI-88 / LAS-2B package</t>
        </is>
      </c>
    </row>
    <row r="9">
      <c r="A9" s="8" t="inlineStr">
        <is>
          <t>A4</t>
        </is>
      </c>
      <c r="B9" s="8" t="inlineStr">
        <is>
          <t>Management reserve partially consumed to cover approved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2026-04-07T16:11:42Z</dcterms:created>
  <dcterms:modified xmlns:dcterms="http://purl.org/dc/terms/" xmlns:xsi="http://www.w3.org/2001/XMLSchema-instance" xsi:type="dcterms:W3CDTF">2026-04-07T16:11:42Z</dcterms:modified>
</cp:coreProperties>
</file>