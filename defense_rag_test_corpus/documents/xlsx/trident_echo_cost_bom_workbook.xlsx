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ummary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SupplierPer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666666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2" fontId="0" fillId="0" borderId="0" pivotButton="0" quotePrefix="0" xfId="0"/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Trident Echo Naval Power Distribution Upgrade</t>
        </is>
      </c>
    </row>
    <row r="3">
      <c r="A3" s="3" t="inlineStr">
        <is>
          <t>SYN-NV-27-7740</t>
        </is>
      </c>
      <c r="B3" s="4" t="n"/>
      <c r="C3" s="4" t="n"/>
      <c r="D3" s="4" t="n"/>
    </row>
    <row r="4">
      <c r="B4" s="4" t="n"/>
      <c r="C4" s="4" t="n"/>
      <c r="D4" s="4" t="n"/>
    </row>
    <row r="5">
      <c r="A5" s="5" t="inlineStr">
        <is>
          <t>Category</t>
        </is>
      </c>
      <c r="B5" s="6" t="inlineStr">
        <is>
          <t>Baseline ($M)</t>
        </is>
      </c>
      <c r="C5" s="6" t="inlineStr">
        <is>
          <t>Current ($M)</t>
        </is>
      </c>
      <c r="D5" s="6" t="inlineStr">
        <is>
          <t>Delta ($M)</t>
        </is>
      </c>
    </row>
    <row r="6">
      <c r="A6" s="5" t="inlineStr">
        <is>
          <t>Raw material</t>
        </is>
      </c>
      <c r="B6" s="6" t="n">
        <v>8.220000000000001</v>
      </c>
      <c r="C6" s="6" t="n">
        <v>8.449999999999999</v>
      </c>
      <c r="D6" s="6">
        <f>C3-B3</f>
        <v/>
      </c>
    </row>
    <row r="7">
      <c r="A7" s="5" t="inlineStr">
        <is>
          <t>Factory labor</t>
        </is>
      </c>
      <c r="B7" s="6" t="n">
        <v>5.71</v>
      </c>
      <c r="C7" s="6" t="n">
        <v>5.98</v>
      </c>
      <c r="D7" s="6">
        <f>C4-B4</f>
        <v/>
      </c>
    </row>
    <row r="8">
      <c r="A8" s="5" t="inlineStr">
        <is>
          <t>Premium freight / expedite</t>
        </is>
      </c>
      <c r="B8" s="6" t="n">
        <v>0.44</v>
      </c>
      <c r="C8" s="6" t="n">
        <v>0.83</v>
      </c>
      <c r="D8" s="6">
        <f>C5-B5</f>
        <v/>
      </c>
    </row>
    <row r="9">
      <c r="A9" s="5" t="inlineStr">
        <is>
          <t>Inspection / rework</t>
        </is>
      </c>
      <c r="B9" s="6" t="n">
        <v>1.36</v>
      </c>
      <c r="C9" s="6" t="n">
        <v>1.72</v>
      </c>
      <c r="D9" s="6">
        <f>C6-B6</f>
        <v/>
      </c>
    </row>
    <row r="10">
      <c r="A10" s="5" t="inlineStr">
        <is>
          <t>Structures reinforcement</t>
        </is>
      </c>
      <c r="B10" s="6" t="n">
        <v>0</v>
      </c>
      <c r="C10" s="6" t="n">
        <v>0.21</v>
      </c>
      <c r="D10" s="6">
        <f>C7-B7</f>
        <v/>
      </c>
    </row>
    <row r="11">
      <c r="A11" s="5" t="inlineStr">
        <is>
          <t>Supplier support</t>
        </is>
      </c>
      <c r="B11" s="6" t="n">
        <v>1.18</v>
      </c>
      <c r="C11" s="6" t="n">
        <v>1.25</v>
      </c>
      <c r="D11" s="6">
        <f>C8-B8</f>
        <v/>
      </c>
    </row>
    <row r="12">
      <c r="A12" s="5" t="inlineStr">
        <is>
          <t>Other</t>
        </is>
      </c>
      <c r="B12" s="6" t="n">
        <v>5.53</v>
      </c>
      <c r="C12" s="6" t="n">
        <v>4.87</v>
      </c>
      <c r="D12" s="6">
        <f>C9-B9</f>
        <v/>
      </c>
    </row>
    <row r="13">
      <c r="A13" s="5" t="inlineStr">
        <is>
          <t>Total</t>
        </is>
      </c>
      <c r="B13" s="6">
        <f>SUM(B3:B9)</f>
        <v/>
      </c>
      <c r="C13" s="6">
        <f>SUM(C3:C9)</f>
        <v/>
      </c>
      <c r="D13" s="6">
        <f>SUM(D3:D9)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5" customWidth="1" min="3" max="3"/>
    <col width="11" customWidth="1" min="4" max="4"/>
    <col width="15" customWidth="1" min="5" max="5"/>
    <col width="25" customWidth="1" min="6" max="6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Trident Echo Naval Power Distribution Upgrade</t>
        </is>
      </c>
    </row>
    <row r="3">
      <c r="A3" s="3" t="inlineStr">
        <is>
          <t>SYN-NV-27-7740</t>
        </is>
      </c>
    </row>
    <row r="4"/>
    <row r="5">
      <c r="A5" s="5" t="inlineStr">
        <is>
          <t>Part</t>
        </is>
      </c>
      <c r="B5" s="5" t="inlineStr">
        <is>
          <t>Description</t>
        </is>
      </c>
      <c r="C5" s="5" t="inlineStr">
        <is>
          <t>Qty</t>
        </is>
      </c>
      <c r="D5" s="5" t="inlineStr">
        <is>
          <t>Unit Cost</t>
        </is>
      </c>
      <c r="E5" s="5" t="inlineStr">
        <is>
          <t>Extended Cost</t>
        </is>
      </c>
      <c r="F5" s="5" t="inlineStr">
        <is>
          <t>Supplier</t>
        </is>
      </c>
    </row>
    <row r="6">
      <c r="A6" s="5" t="inlineStr">
        <is>
          <t>BCB-440</t>
        </is>
      </c>
      <c r="B6" s="5" t="inlineStr">
        <is>
          <t>Breaker cabinet enclosure</t>
        </is>
      </c>
      <c r="C6" s="7" t="n">
        <v>14</v>
      </c>
      <c r="D6" s="7" t="n">
        <v>128000</v>
      </c>
      <c r="E6" s="5">
        <f>C3*D3</f>
        <v/>
      </c>
      <c r="F6" s="5" t="inlineStr">
        <is>
          <t>Halcyon Foundry</t>
        </is>
      </c>
    </row>
    <row r="7">
      <c r="A7" s="5" t="inlineStr">
        <is>
          <t>BUS-9R</t>
        </is>
      </c>
      <c r="B7" s="5" t="inlineStr">
        <is>
          <t>Silver-plated bus bar set</t>
        </is>
      </c>
      <c r="C7" s="7" t="n">
        <v>28</v>
      </c>
      <c r="D7" s="7" t="n">
        <v>21400</v>
      </c>
      <c r="E7" s="5">
        <f>C4*D4</f>
        <v/>
      </c>
      <c r="F7" s="5" t="inlineStr">
        <is>
          <t>Meridian Power &amp; Signal</t>
        </is>
      </c>
    </row>
    <row r="8">
      <c r="A8" s="5" t="inlineStr">
        <is>
          <t>PCU-17</t>
        </is>
      </c>
      <c r="B8" s="5" t="inlineStr">
        <is>
          <t>Power conversion unit</t>
        </is>
      </c>
      <c r="C8" s="7" t="n">
        <v>14</v>
      </c>
      <c r="D8" s="7" t="n">
        <v>196000</v>
      </c>
      <c r="E8" s="5">
        <f>C5*D5</f>
        <v/>
      </c>
      <c r="F8" s="5" t="inlineStr">
        <is>
          <t>Pelagic Switchgear</t>
        </is>
      </c>
    </row>
    <row r="9">
      <c r="A9" s="5" t="inlineStr">
        <is>
          <t>BR-6</t>
        </is>
      </c>
      <c r="B9" s="5" t="inlineStr">
        <is>
          <t>Shock bracket reinforcement kit</t>
        </is>
      </c>
      <c r="C9" s="7" t="n">
        <v>14</v>
      </c>
      <c r="D9" s="7" t="n">
        <v>7600</v>
      </c>
      <c r="E9" s="5">
        <f>C6*D6</f>
        <v/>
      </c>
      <c r="F9" s="5" t="inlineStr">
        <is>
          <t>Meridian Maritime Power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39" customWidth="1" min="5" max="5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Trident Echo Naval Power Distribution Upgrade</t>
        </is>
      </c>
    </row>
    <row r="3">
      <c r="A3" s="3" t="inlineStr">
        <is>
          <t>SYN-NV-27-7740</t>
        </is>
      </c>
    </row>
    <row r="4"/>
    <row r="5">
      <c r="A5" s="5" t="inlineStr">
        <is>
          <t>Milestone</t>
        </is>
      </c>
      <c r="B5" s="5" t="inlineStr">
        <is>
          <t>Baseline</t>
        </is>
      </c>
      <c r="C5" s="5" t="inlineStr">
        <is>
          <t>Current</t>
        </is>
      </c>
      <c r="D5" s="5" t="inlineStr">
        <is>
          <t>Variance</t>
        </is>
      </c>
      <c r="E5" s="5" t="inlineStr">
        <is>
          <t>Notes</t>
        </is>
      </c>
    </row>
    <row r="6">
      <c r="A6" s="5" t="inlineStr">
        <is>
          <t>Shock Qualification</t>
        </is>
      </c>
      <c r="B6" s="5" t="inlineStr">
        <is>
          <t>2028-09-08</t>
        </is>
      </c>
      <c r="C6" s="5" t="inlineStr">
        <is>
          <t>2028-10-17</t>
        </is>
      </c>
      <c r="D6" s="7" t="n">
        <v>39</v>
      </c>
      <c r="E6" s="5" t="inlineStr">
        <is>
          <t>Manufacturing constraints</t>
        </is>
      </c>
    </row>
    <row r="7">
      <c r="A7" s="5" t="inlineStr">
        <is>
          <t>Physical Test Execution</t>
        </is>
      </c>
      <c r="B7" s="5" t="inlineStr">
        <is>
          <t>2028-09-08</t>
        </is>
      </c>
      <c r="C7" s="5" t="inlineStr">
        <is>
          <t>2028-10-21</t>
        </is>
      </c>
      <c r="D7" s="7" t="n">
        <v>43</v>
      </c>
      <c r="E7" s="5" t="inlineStr">
        <is>
          <t>Lab availability after hardware ready</t>
        </is>
      </c>
    </row>
    <row r="8">
      <c r="A8" s="5" t="inlineStr">
        <is>
          <t>Shipset Release</t>
        </is>
      </c>
      <c r="B8" s="5" t="inlineStr">
        <is>
          <t>2028-11-14</t>
        </is>
      </c>
      <c r="C8" s="5" t="inlineStr">
        <is>
          <t>2028-12-06</t>
        </is>
      </c>
      <c r="D8" s="7" t="n">
        <v>22</v>
      </c>
      <c r="E8" s="5" t="inlineStr">
        <is>
          <t>Await bracket disposition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9" customWidth="1" min="3" max="3"/>
    <col width="36" customWidth="1" min="4" max="4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Trident Echo Naval Power Distribution Upgrade</t>
        </is>
      </c>
    </row>
    <row r="3">
      <c r="A3" s="3" t="inlineStr">
        <is>
          <t>SYN-NV-27-7740</t>
        </is>
      </c>
    </row>
    <row r="4"/>
    <row r="5">
      <c r="A5" s="5" t="inlineStr">
        <is>
          <t>Supplier</t>
        </is>
      </c>
      <c r="B5" s="5" t="inlineStr">
        <is>
          <t>OTD %</t>
        </is>
      </c>
      <c r="C5" s="5" t="inlineStr">
        <is>
          <t>Quality</t>
        </is>
      </c>
      <c r="D5" s="5" t="inlineStr">
        <is>
          <t>Comment</t>
        </is>
      </c>
    </row>
    <row r="6">
      <c r="A6" s="5" t="inlineStr">
        <is>
          <t>Halcyon Foundry</t>
        </is>
      </c>
      <c r="B6" s="5" t="n">
        <v>71</v>
      </c>
      <c r="C6" s="5" t="inlineStr">
        <is>
          <t>Red</t>
        </is>
      </c>
      <c r="D6" s="5" t="inlineStr">
        <is>
          <t>Void indications and late castings</t>
        </is>
      </c>
    </row>
    <row r="7">
      <c r="A7" s="5" t="inlineStr">
        <is>
          <t>Pelagic Switchgear</t>
        </is>
      </c>
      <c r="B7" s="5" t="n">
        <v>92</v>
      </c>
      <c r="C7" s="5" t="inlineStr">
        <is>
          <t>Green</t>
        </is>
      </c>
      <c r="D7" s="5" t="inlineStr">
        <is>
          <t>Stable once interfaces released</t>
        </is>
      </c>
    </row>
    <row r="8">
      <c r="A8" s="5" t="inlineStr">
        <is>
          <t>Meridian Power &amp; Signal</t>
        </is>
      </c>
      <c r="B8" s="5" t="n">
        <v>84</v>
      </c>
      <c r="C8" s="5" t="inlineStr">
        <is>
          <t>Yellow</t>
        </is>
      </c>
      <c r="D8" s="5" t="inlineStr">
        <is>
          <t>Plating queue congestion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2026-04-07T16:11:42Z</dcterms:created>
  <dcterms:modified xmlns:dcterms="http://purl.org/dc/terms/" xmlns:xsi="http://www.w3.org/2001/XMLSchema-instance" xsi:type="dcterms:W3CDTF">2026-04-07T16:11:42Z</dcterms:modified>
</cp:coreProperties>
</file>