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loyPlan" sheetId="1" state="visible" r:id="rId1"/>
    <sheet xmlns:r="http://schemas.openxmlformats.org/officeDocument/2006/relationships" name="FieldingCosts" sheetId="2" state="visible" r:id="rId2"/>
    <sheet xmlns:r="http://schemas.openxmlformats.org/officeDocument/2006/relationships" name="Spares" sheetId="3" state="visible" r:id="rId3"/>
    <sheet xmlns:r="http://schemas.openxmlformats.org/officeDocument/2006/relationships" name="Training" sheetId="4" state="visible" r:id="rId4"/>
    <sheet xmlns:r="http://schemas.openxmlformats.org/officeDocument/2006/relationships" name="KP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666666"/>
    </font>
    <font>
      <b val="1"/>
      <color rgb="001F4E78"/>
      <sz val="14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4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2" fontId="0" fillId="0" borderId="0" pivotButton="0" quotePrefix="0" xfId="0"/>
    <xf numFmtId="2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5" customWidth="1" min="3" max="3"/>
    <col width="14" customWidth="1" min="4" max="4"/>
    <col width="9" customWidth="1" min="5" max="5"/>
    <col width="40" customWidth="1" min="6" max="6"/>
  </cols>
  <sheetData>
    <row r="1">
      <c r="A1" s="1" t="inlineStr">
        <is>
          <t>UNCLASSIFIED // SYNTHETIC TEST DATA</t>
        </is>
      </c>
    </row>
    <row r="2" ht="20" customHeight="1">
      <c r="A2" s="2" t="inlineStr">
        <is>
          <t>Blue Mica Tactical Communications Refresh</t>
        </is>
      </c>
    </row>
    <row r="3">
      <c r="A3" s="3" t="inlineStr">
        <is>
          <t>SYN-CM-29-1188</t>
        </is>
      </c>
    </row>
    <row r="4"/>
    <row r="5">
      <c r="A5" s="4" t="inlineStr">
        <is>
          <t>Wave</t>
        </is>
      </c>
      <c r="B5" s="4" t="inlineStr">
        <is>
          <t>Unit</t>
        </is>
      </c>
      <c r="C5" s="4" t="inlineStr">
        <is>
          <t>Baseline Date</t>
        </is>
      </c>
      <c r="D5" s="4" t="inlineStr">
        <is>
          <t>Current Date</t>
        </is>
      </c>
      <c r="E5" s="4" t="inlineStr">
        <is>
          <t>Systems</t>
        </is>
      </c>
      <c r="F5" s="4" t="inlineStr">
        <is>
          <t>Comment</t>
        </is>
      </c>
    </row>
    <row r="6">
      <c r="A6" s="4" t="inlineStr">
        <is>
          <t>Wave 1</t>
        </is>
      </c>
      <c r="B6" s="4" t="inlineStr">
        <is>
          <t>1st Brigade</t>
        </is>
      </c>
      <c r="C6" s="4" t="inlineStr">
        <is>
          <t>2028-11-18</t>
        </is>
      </c>
      <c r="D6" s="4" t="inlineStr">
        <is>
          <t>2028-11-18</t>
        </is>
      </c>
      <c r="E6" s="5" t="n">
        <v>164</v>
      </c>
      <c r="F6" s="4" t="inlineStr">
        <is>
          <t>Completed pilot fielding</t>
        </is>
      </c>
    </row>
    <row r="7">
      <c r="A7" s="4" t="inlineStr">
        <is>
          <t>Wave 2</t>
        </is>
      </c>
      <c r="B7" s="4" t="inlineStr">
        <is>
          <t>3rd Brigade</t>
        </is>
      </c>
      <c r="C7" s="4" t="inlineStr">
        <is>
          <t>2029-01-15</t>
        </is>
      </c>
      <c r="D7" s="4" t="inlineStr">
        <is>
          <t>2029-02-06</t>
        </is>
      </c>
      <c r="E7" s="5" t="n">
        <v>188</v>
      </c>
      <c r="F7" s="4" t="inlineStr">
        <is>
          <t>Moved due compliance and training prep</t>
        </is>
      </c>
    </row>
    <row r="8">
      <c r="A8" s="4" t="inlineStr">
        <is>
          <t>Wave 3</t>
        </is>
      </c>
      <c r="B8" s="4" t="inlineStr">
        <is>
          <t>Support Battalion</t>
        </is>
      </c>
      <c r="C8" s="4" t="inlineStr">
        <is>
          <t>2029-03-03</t>
        </is>
      </c>
      <c r="D8" s="4" t="inlineStr">
        <is>
          <t>2029-03-10</t>
        </is>
      </c>
      <c r="E8" s="5" t="n">
        <v>96</v>
      </c>
      <c r="F8" s="4" t="inlineStr">
        <is>
          <t>Dependent on lessons learned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</cols>
  <sheetData>
    <row r="1">
      <c r="A1" s="1" t="inlineStr">
        <is>
          <t>UNCLASSIFIED // SYNTHETIC TEST DATA</t>
        </is>
      </c>
    </row>
    <row r="2" ht="20" customHeight="1">
      <c r="A2" s="2" t="inlineStr">
        <is>
          <t>Blue Mica Tactical Communications Refresh</t>
        </is>
      </c>
    </row>
    <row r="3">
      <c r="A3" s="3" t="inlineStr">
        <is>
          <t>SYN-CM-29-1188</t>
        </is>
      </c>
      <c r="B3" s="6" t="n"/>
    </row>
    <row r="4">
      <c r="B4" s="6" t="n"/>
    </row>
    <row r="5">
      <c r="A5" s="4" t="inlineStr">
        <is>
          <t>Category</t>
        </is>
      </c>
      <c r="B5" s="7" t="inlineStr">
        <is>
          <t>Cost ($M)</t>
        </is>
      </c>
    </row>
    <row r="6">
      <c r="A6" s="4" t="inlineStr">
        <is>
          <t>Travel and site setup</t>
        </is>
      </c>
      <c r="B6" s="7" t="n">
        <v>4.38</v>
      </c>
    </row>
    <row r="7">
      <c r="A7" s="4" t="inlineStr">
        <is>
          <t>Field labor</t>
        </is>
      </c>
      <c r="B7" s="7" t="n">
        <v>5.72</v>
      </c>
    </row>
    <row r="8">
      <c r="A8" s="4" t="inlineStr">
        <is>
          <t>Packaging and kitting</t>
        </is>
      </c>
      <c r="B8" s="7" t="n">
        <v>2.16</v>
      </c>
    </row>
    <row r="9">
      <c r="A9" s="4" t="inlineStr">
        <is>
          <t>Comms / admin support</t>
        </is>
      </c>
      <c r="B9" s="7" t="n">
        <v>2.36</v>
      </c>
    </row>
    <row r="10">
      <c r="A10" s="4" t="inlineStr">
        <is>
          <t>Total</t>
        </is>
      </c>
      <c r="B10" s="7">
        <f>SUM(B3:B6)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5" customWidth="1" min="3" max="3"/>
    <col width="11" customWidth="1" min="4" max="4"/>
    <col width="16" customWidth="1" min="5" max="5"/>
  </cols>
  <sheetData>
    <row r="1">
      <c r="A1" s="1" t="inlineStr">
        <is>
          <t>UNCLASSIFIED // SYNTHETIC TEST DATA</t>
        </is>
      </c>
    </row>
    <row r="2" ht="20" customHeight="1">
      <c r="A2" s="2" t="inlineStr">
        <is>
          <t>Blue Mica Tactical Communications Refresh</t>
        </is>
      </c>
    </row>
    <row r="3">
      <c r="A3" s="3" t="inlineStr">
        <is>
          <t>SYN-CM-29-1188</t>
        </is>
      </c>
    </row>
    <row r="4"/>
    <row r="5">
      <c r="A5" s="4" t="inlineStr">
        <is>
          <t>Item</t>
        </is>
      </c>
      <c r="B5" s="4" t="inlineStr">
        <is>
          <t>Description</t>
        </is>
      </c>
      <c r="C5" s="4" t="inlineStr">
        <is>
          <t>Qty</t>
        </is>
      </c>
      <c r="D5" s="4" t="inlineStr">
        <is>
          <t>Unit Cost</t>
        </is>
      </c>
      <c r="E5" s="4" t="inlineStr">
        <is>
          <t>Extended ($M)</t>
        </is>
      </c>
    </row>
    <row r="6">
      <c r="A6" s="4" t="inlineStr">
        <is>
          <t>BAT-214</t>
        </is>
      </c>
      <c r="B6" s="4" t="inlineStr">
        <is>
          <t>Battery pack</t>
        </is>
      </c>
      <c r="C6" s="5" t="n">
        <v>220</v>
      </c>
      <c r="D6" s="5" t="n">
        <v>2400</v>
      </c>
      <c r="E6" s="4">
        <f>C3*D3/1000000</f>
        <v/>
      </c>
    </row>
    <row r="7">
      <c r="A7" s="4" t="inlineStr">
        <is>
          <t>ENC-21M</t>
        </is>
      </c>
      <c r="B7" s="4" t="inlineStr">
        <is>
          <t>Crypto module spare</t>
        </is>
      </c>
      <c r="C7" s="5" t="n">
        <v>12</v>
      </c>
      <c r="D7" s="5" t="n">
        <v>28200</v>
      </c>
      <c r="E7" s="4">
        <f>C4*D4/1000000</f>
        <v/>
      </c>
    </row>
    <row r="8">
      <c r="A8" s="4" t="inlineStr">
        <is>
          <t>AMP-3</t>
        </is>
      </c>
      <c r="B8" s="4" t="inlineStr">
        <is>
          <t>Amplifier spare</t>
        </is>
      </c>
      <c r="C8" s="5" t="n">
        <v>28</v>
      </c>
      <c r="D8" s="5" t="n">
        <v>11600</v>
      </c>
      <c r="E8" s="4">
        <f>C5*D5/1000000</f>
        <v/>
      </c>
    </row>
    <row r="9">
      <c r="A9" s="4" t="inlineStr">
        <is>
          <t>Total</t>
        </is>
      </c>
      <c r="B9" s="4" t="inlineStr"/>
      <c r="C9" s="4" t="inlineStr"/>
      <c r="D9" s="4" t="inlineStr"/>
      <c r="E9" s="4">
        <f>SUM(E3:E5)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  <col width="8" customWidth="1" min="3" max="3"/>
    <col width="16" customWidth="1" min="4" max="4"/>
  </cols>
  <sheetData>
    <row r="1">
      <c r="A1" s="1" t="inlineStr">
        <is>
          <t>UNCLASSIFIED // SYNTHETIC TEST DATA</t>
        </is>
      </c>
    </row>
    <row r="2" ht="20" customHeight="1">
      <c r="A2" s="2" t="inlineStr">
        <is>
          <t>Blue Mica Tactical Communications Refresh</t>
        </is>
      </c>
    </row>
    <row r="3">
      <c r="A3" s="3" t="inlineStr">
        <is>
          <t>SYN-CM-29-1188</t>
        </is>
      </c>
    </row>
    <row r="4"/>
    <row r="5">
      <c r="A5" s="4" t="inlineStr">
        <is>
          <t>Element</t>
        </is>
      </c>
      <c r="B5" s="4" t="inlineStr">
        <is>
          <t>Hours</t>
        </is>
      </c>
      <c r="C5" s="4" t="inlineStr">
        <is>
          <t>Rate</t>
        </is>
      </c>
      <c r="D5" s="4" t="inlineStr">
        <is>
          <t>Cost ($M)</t>
        </is>
      </c>
    </row>
    <row r="6">
      <c r="A6" s="4" t="inlineStr">
        <is>
          <t>Instructor prep</t>
        </is>
      </c>
      <c r="B6" s="4" t="n">
        <v>280</v>
      </c>
      <c r="C6" s="5" t="n">
        <v>120</v>
      </c>
      <c r="D6" s="4">
        <f>B3*C3/1000000</f>
        <v/>
      </c>
    </row>
    <row r="7">
      <c r="A7" s="4" t="inlineStr">
        <is>
          <t>Wave delivery</t>
        </is>
      </c>
      <c r="B7" s="4" t="n">
        <v>420</v>
      </c>
      <c r="C7" s="5" t="n">
        <v>135</v>
      </c>
      <c r="D7" s="4">
        <f>B4*C4/1000000</f>
        <v/>
      </c>
    </row>
    <row r="8">
      <c r="A8" s="4" t="inlineStr">
        <is>
          <t>Quick-reference package</t>
        </is>
      </c>
      <c r="B8" s="4" t="n">
        <v>1</v>
      </c>
      <c r="C8" s="5" t="n">
        <v>740000</v>
      </c>
      <c r="D8" s="4">
        <f>B5*C5/1000000</f>
        <v/>
      </c>
    </row>
    <row r="9">
      <c r="A9" s="4" t="inlineStr">
        <is>
          <t>Total</t>
        </is>
      </c>
      <c r="B9" s="4" t="inlineStr"/>
      <c r="C9" s="4" t="inlineStr"/>
      <c r="D9" s="4">
        <f>SUM(D3:D5)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9" customWidth="1" min="3" max="3"/>
  </cols>
  <sheetData>
    <row r="1">
      <c r="A1" s="1" t="inlineStr">
        <is>
          <t>UNCLASSIFIED // SYNTHETIC TEST DATA</t>
        </is>
      </c>
    </row>
    <row r="2" ht="20" customHeight="1">
      <c r="A2" s="2" t="inlineStr">
        <is>
          <t>Blue Mica Tactical Communications Refresh</t>
        </is>
      </c>
    </row>
    <row r="3">
      <c r="A3" s="3" t="inlineStr">
        <is>
          <t>SYN-CM-29-1188</t>
        </is>
      </c>
    </row>
    <row r="4"/>
    <row r="5">
      <c r="A5" s="4" t="inlineStr">
        <is>
          <t>Metric</t>
        </is>
      </c>
      <c r="B5" s="4" t="inlineStr">
        <is>
          <t>Baseline</t>
        </is>
      </c>
      <c r="C5" s="4" t="inlineStr">
        <is>
          <t>Current</t>
        </is>
      </c>
    </row>
    <row r="6">
      <c r="A6" s="4" t="inlineStr">
        <is>
          <t>First-pass issue completion (%)</t>
        </is>
      </c>
      <c r="B6" s="4" t="n">
        <v>78</v>
      </c>
      <c r="C6" s="5" t="n">
        <v>89</v>
      </c>
    </row>
    <row r="7">
      <c r="A7" s="4" t="inlineStr">
        <is>
          <t>Serialized discrepancy rate (%)</t>
        </is>
      </c>
      <c r="B7" s="4" t="n">
        <v>6.4</v>
      </c>
      <c r="C7" s="5" t="n">
        <v>2.1</v>
      </c>
    </row>
    <row r="8">
      <c r="A8" s="4" t="inlineStr">
        <is>
          <t>Average user support ticket closure (days)</t>
        </is>
      </c>
      <c r="B8" s="4" t="n">
        <v>5.8</v>
      </c>
      <c r="C8" s="5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2026-04-07T16:11:42Z</dcterms:created>
  <dcterms:modified xmlns:dcterms="http://purl.org/dc/terms/" xmlns:xsi="http://www.w3.org/2001/XMLSchema-instance" xsi:type="dcterms:W3CDTF">2026-04-07T16:11:42Z</dcterms:modified>
</cp:coreProperties>
</file>